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um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Fiscal years 2/</t>
        </is>
      </c>
      <c r="F1" s="1" t="inlineStr">
        <is>
          <t>Fiscal year-to-date</t>
        </is>
      </c>
      <c r="H1" t="inlineStr">
        <is>
          <t>August</t>
        </is>
      </c>
    </row>
    <row r="2">
      <c r="B2" t="n">
        <v>2020</v>
      </c>
      <c r="C2" t="n">
        <v>2021</v>
      </c>
      <c r="D2" t="n">
        <v>2022</v>
      </c>
      <c r="E2" t="n">
        <v>2023</v>
      </c>
      <c r="F2" t="n">
        <v>2023</v>
      </c>
      <c r="G2" t="n">
        <v>2024</v>
      </c>
      <c r="H2" t="n">
        <v>2024</v>
      </c>
    </row>
    <row r="3">
      <c r="B3" s="1" t="inlineStr">
        <is>
          <t>Billion dollars</t>
        </is>
      </c>
    </row>
    <row r="4">
      <c r="A4" t="inlineStr">
        <is>
          <t>Agricultural exports</t>
        </is>
      </c>
      <c r="B4" s="2" t="n">
        <v>186.823234299</v>
      </c>
      <c r="C4" s="2" t="n">
        <v>180.272756891</v>
      </c>
      <c r="D4" s="2" t="n">
        <v>187.048567818</v>
      </c>
      <c r="E4" s="2" t="n">
        <v>164.059034444</v>
      </c>
      <c r="F4" s="2" t="n">
        <v>155.942584284</v>
      </c>
      <c r="G4" s="2" t="n">
        <v>150.019235594</v>
      </c>
      <c r="H4" s="2" t="n">
        <v>17.59606618</v>
      </c>
    </row>
    <row r="5">
      <c r="A5" t="inlineStr">
        <is>
          <t>Agricultural imports</t>
        </is>
      </c>
      <c r="B5" s="2" t="n">
        <v>146.923077911</v>
      </c>
      <c r="C5" s="2" t="n">
        <v>196.02973593</v>
      </c>
      <c r="D5" s="2" t="n">
        <v>141.259137327</v>
      </c>
      <c r="E5" s="2" t="n">
        <v>146.487243815</v>
      </c>
      <c r="F5" s="2" t="n">
        <v>156.740878068</v>
      </c>
      <c r="G5" s="2" t="n">
        <v>172.09865714</v>
      </c>
      <c r="H5" s="2" t="n">
        <v>12.600823051</v>
      </c>
    </row>
    <row r="7">
      <c r="A7" t="inlineStr">
        <is>
          <t>Trade balance 3/</t>
        </is>
      </c>
      <c r="B7" s="2" t="n">
        <v>39.900156388</v>
      </c>
      <c r="C7" s="2" t="n">
        <v>-15.756979039</v>
      </c>
      <c r="D7" s="2" t="n">
        <v>45.789430491</v>
      </c>
      <c r="E7" s="2" t="n">
        <v>17.571790629</v>
      </c>
      <c r="F7" s="2" t="n">
        <v>-0.798293784</v>
      </c>
      <c r="G7" s="2" t="n">
        <v>-22.079421546</v>
      </c>
      <c r="H7" s="2" t="n">
        <v>4.995243129</v>
      </c>
    </row>
    <row r="9">
      <c r="A9" s="1" t="n"/>
      <c r="B9" s="1" t="inlineStr">
        <is>
          <t>Calendar years</t>
        </is>
      </c>
      <c r="F9" s="1" t="inlineStr">
        <is>
          <t>Calendar year-to-date</t>
        </is>
      </c>
      <c r="H9">
        <f>H1</f>
        <v/>
      </c>
    </row>
    <row r="10">
      <c r="B10" t="n">
        <v>2020</v>
      </c>
      <c r="C10" t="n">
        <v>2021</v>
      </c>
      <c r="D10" t="n">
        <v>2022</v>
      </c>
      <c r="E10" t="n">
        <v>2023</v>
      </c>
      <c r="F10" t="n">
        <v>2023</v>
      </c>
      <c r="G10" t="n">
        <v>2024</v>
      </c>
      <c r="H10" t="n">
        <v>2024</v>
      </c>
    </row>
    <row r="11">
      <c r="B11" s="1" t="inlineStr">
        <is>
          <t>Billion dollars</t>
        </is>
      </c>
    </row>
    <row r="12">
      <c r="A12" t="inlineStr">
        <is>
          <t>Agricultural exports</t>
        </is>
      </c>
      <c r="B12" s="2" t="n">
        <v>137.159885321</v>
      </c>
      <c r="C12" s="2" t="n">
        <v>138.471563404</v>
      </c>
      <c r="D12" s="2" t="n">
        <v>162.396190072</v>
      </c>
      <c r="E12" s="2" t="n">
        <v>161.17801859</v>
      </c>
      <c r="F12" s="2" t="n">
        <v>167.955453032</v>
      </c>
      <c r="G12" s="2" t="n">
        <v>163.712721572</v>
      </c>
      <c r="H12" s="2" t="n">
        <v>16.93109011</v>
      </c>
    </row>
    <row r="13">
      <c r="A13" t="inlineStr">
        <is>
          <t>Agricultural imports</t>
        </is>
      </c>
      <c r="B13" s="2" t="n">
        <v>168.061299156</v>
      </c>
      <c r="C13" s="2" t="n">
        <v>174.103692582</v>
      </c>
      <c r="D13" s="2" t="n">
        <v>168.077637522</v>
      </c>
      <c r="E13" s="2" t="n">
        <v>162.631737499</v>
      </c>
      <c r="F13" s="2" t="n">
        <v>160.585765522</v>
      </c>
      <c r="G13" s="2" t="n">
        <v>174.933662637</v>
      </c>
      <c r="H13" s="2" t="n">
        <v>12.661827679</v>
      </c>
    </row>
    <row r="15">
      <c r="A15" t="inlineStr">
        <is>
          <t>Trade balance 3/</t>
        </is>
      </c>
      <c r="B15" s="2">
        <f>B12-B13</f>
        <v/>
      </c>
      <c r="C15" s="2">
        <f>C12-C13</f>
        <v/>
      </c>
      <c r="D15" s="2">
        <f>D12-D13</f>
        <v/>
      </c>
      <c r="E15" s="2">
        <f>E12-E13</f>
        <v/>
      </c>
      <c r="F15" s="2">
        <f>F12-F13</f>
        <v/>
      </c>
      <c r="G15" s="2">
        <f>G12-G13</f>
        <v/>
      </c>
      <c r="H15" s="2">
        <f>H12-H13</f>
        <v/>
      </c>
    </row>
  </sheetData>
  <mergeCells count="8">
    <mergeCell ref="A1:A3"/>
    <mergeCell ref="B9:E9"/>
    <mergeCell ref="B1:E1"/>
    <mergeCell ref="F9:G9"/>
    <mergeCell ref="B11:H11"/>
    <mergeCell ref="B3:H3"/>
    <mergeCell ref="F1:G1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2026-10-15T14:00:53Z</dcterms:created>
  <dcterms:modified xsi:type="dcterms:W3CDTF">2026-10-15T14:00:53Z</dcterms:modified>
</cp:coreProperties>
</file>